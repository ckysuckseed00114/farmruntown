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<sst xmlns="http://schemas.openxmlformats.org/spreadsheetml/2006/main" count="26" uniqueCount="25">
  <si>
    <t>กรอกจำนวนเนื้อหมู (ชิ้น) 👉</t>
  </si>
  <si>
    <t>ผลลัพธ์การคำนวณ</t>
  </si>
  <si>
    <t>เนื้อโพเซสที่ได้ (ชิ้น)</t>
  </si>
  <si>
    <t>จำนวนแพคที่ได้ (Pack)</t>
  </si>
  <si>
    <t>เวลาโพเซส (นาที)</t>
  </si>
  <si>
    <t>เวลาแพค (นาที)</t>
  </si>
  <si>
    <t>เวลารวมทั้งหมด (นาที)</t>
  </si>
  <si>
    <t>เวลารวมทั้งหมด (ชั่วโมง)</t>
  </si>
  <si>
    <t>รายได้ขั้นต่ำ (422 บาท/Pack)</t>
  </si>
  <si>
    <t>รายได้สูงสุด (425 บาท/Pack)</t>
  </si>
  <si>
    <t>ต้นทุนที่ต้องใช้</t>
  </si>
  <si>
    <t>--- เครื่องคำนวณจากจำนวนข้าว (ต้น) ---</t>
  </si>
  <si>
    <t>จำนวนคอกหมูที่ใช้</t>
  </si>
  <si>
    <t>กรอกจำนวนข้าว (ต้น) 👉</t>
  </si>
  <si>
    <t>จำนวนข้าวที่ต้องปลูก (ต้น)</t>
  </si>
  <si>
    <t>จำนวนคอกหมูที่ได้:</t>
  </si>
  <si>
    <t>เนื้อหมูที่ได้ (ชิ้น):</t>
  </si>
  <si>
    <t>เนื้อโพเซสที่ได้ (ชิ้น):</t>
  </si>
  <si>
    <t>จำนวนแพคที่ได้ (Pack):</t>
  </si>
  <si>
    <t>เวลาโพเซส (นาที):</t>
  </si>
  <si>
    <t>เวลาแพค (นาที):</t>
  </si>
  <si>
    <t>เวลารวมทั้งหมด (นาที):</t>
  </si>
  <si>
    <t>เวลารวมทั้งหมด (ชั่วโมง):</t>
  </si>
  <si>
    <t>รายได้ขั้นต่ำ (422 บาท/Pack):</t>
  </si>
  <si>
    <t>รายได้สูงสุด (425 บาท/Pack):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</si>
</sst>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21181B"/>
      <name val="Roboto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8D4958"/>
        <bgColor rgb="FF8D4958"/>
      </patternFill>
    </fill>
    <fill>
      <patternFill patternType="solid">
        <fgColor rgb="FFFFFFFF"/>
        <bgColor rgb="FFFFFFFF"/>
      </patternFill>
    </fill>
    <fill>
      <patternFill patternType="solid">
        <fgColor rgb="FFFFF7F6"/>
        <bgColor rgb="FFFFF7F6"/>
      </patternFill>
    </fill>
  </fills>
  <borders count="2">
    <border/>
    <border>
      <left style="thin">
        <color rgb="FF837374"/>
      </left>
      <right style="thin">
        <color rgb="FF837374"/>
      </right>
      <top style="thin">
        <color rgb="FF837374"/>
      </top>
      <bottom style="thin">
        <color rgb="FF837374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readingOrder="0"/>
    </xf>
    <xf borderId="1" fillId="2" fontId="3" numFmtId="0" xfId="0" applyBorder="1" applyFill="1" applyFont="1"/>
    <xf borderId="1" fillId="4" fontId="2" numFmtId="0" xfId="0" applyBorder="1" applyFill="1" applyFont="1"/>
    <xf borderId="1" fillId="3" fontId="2" numFmtId="0" xfId="0" applyBorder="1" applyFill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7.38"/>
    <col customWidth="1" min="3" max="3" width="24.25"/>
    <col customWidth="1" min="4" max="4" width="10.75"/>
  </cols>
  <sheetData>
    <row r="3">
      <c r="C3" s="1" t="s">
        <v>0</v>
      </c>
      <c r="D3" s="2">
        <v>6000.0</v>
      </c>
    </row>
    <row r="5">
      <c r="C5" s="1" t="s">
        <v>1</v>
      </c>
      <c r="D5" s="3"/>
    </row>
    <row r="6">
      <c r="C6" s="4" t="s">
        <v>2</v>
      </c>
      <c r="D6" s="4">
        <f>D3</f>
        <v>6000</v>
      </c>
    </row>
    <row r="7">
      <c r="C7" s="5" t="s">
        <v>3</v>
      </c>
      <c r="D7" s="5">
        <f>D3/2</f>
        <v>3000</v>
      </c>
    </row>
    <row r="8">
      <c r="C8" s="4" t="s">
        <v>4</v>
      </c>
      <c r="D8" s="4">
        <f>(D3*6)/60</f>
        <v>600</v>
      </c>
    </row>
    <row r="9">
      <c r="C9" s="5" t="s">
        <v>5</v>
      </c>
      <c r="D9" s="5">
        <f>(D3/2*6)/60</f>
        <v>300</v>
      </c>
    </row>
    <row r="10">
      <c r="C10" s="4" t="s">
        <v>6</v>
      </c>
      <c r="D10" s="4">
        <f>D8+D9</f>
        <v>900</v>
      </c>
    </row>
    <row r="11">
      <c r="C11" s="5" t="s">
        <v>7</v>
      </c>
      <c r="D11" s="5">
        <f>D10/60</f>
        <v>15</v>
      </c>
    </row>
    <row r="12">
      <c r="C12" s="4" t="s">
        <v>8</v>
      </c>
      <c r="D12" s="4">
        <f>(D3/2)*422</f>
        <v>1266000</v>
      </c>
    </row>
    <row r="13">
      <c r="C13" s="5" t="s">
        <v>9</v>
      </c>
      <c r="D13" s="5">
        <f>(D3/2)*425</f>
        <v>1275000</v>
      </c>
    </row>
    <row r="15">
      <c r="C15" s="1" t="s">
        <v>10</v>
      </c>
      <c r="D15" s="3"/>
    </row>
    <row r="16">
      <c r="A16" s="6" t="s">
        <v>11</v>
      </c>
      <c r="C16" s="4" t="s">
        <v>12</v>
      </c>
      <c r="D16" s="4">
        <f>D3/60</f>
        <v>100</v>
      </c>
    </row>
    <row r="17">
      <c r="A17" s="7" t="s">
        <v>13</v>
      </c>
      <c r="B17" s="7">
        <v>700.0</v>
      </c>
      <c r="C17" s="5" t="s">
        <v>14</v>
      </c>
      <c r="D17" s="5">
        <f>(D3/60)*12</f>
        <v>1200</v>
      </c>
    </row>
    <row r="18">
      <c r="A18" s="6" t="s">
        <v>1</v>
      </c>
    </row>
    <row r="19">
      <c r="A19" s="7" t="s">
        <v>15</v>
      </c>
      <c r="B19" s="8">
        <f>B17/12</f>
        <v>58.33333333</v>
      </c>
    </row>
    <row r="20">
      <c r="A20" s="7" t="s">
        <v>16</v>
      </c>
      <c r="B20" s="8">
        <f>(B17/12)*60</f>
        <v>3500</v>
      </c>
    </row>
    <row r="21">
      <c r="A21" s="7" t="s">
        <v>17</v>
      </c>
      <c r="B21" s="8">
        <f>B20</f>
        <v>3500</v>
      </c>
    </row>
    <row r="22">
      <c r="A22" s="7" t="s">
        <v>18</v>
      </c>
      <c r="B22" s="8">
        <f>B21/2</f>
        <v>1750</v>
      </c>
    </row>
    <row r="23">
      <c r="A23" s="7" t="s">
        <v>19</v>
      </c>
      <c r="B23" s="8">
        <f t="shared" ref="B23:B24" si="1">(B21*6)/60</f>
        <v>350</v>
      </c>
    </row>
    <row r="24">
      <c r="A24" s="7" t="s">
        <v>20</v>
      </c>
      <c r="B24" s="8">
        <f t="shared" si="1"/>
        <v>175</v>
      </c>
    </row>
    <row r="25">
      <c r="A25" s="7" t="s">
        <v>21</v>
      </c>
      <c r="B25" s="8">
        <f>B23+B24</f>
        <v>525</v>
      </c>
    </row>
    <row r="26">
      <c r="A26" s="7" t="s">
        <v>22</v>
      </c>
      <c r="B26" s="8">
        <f>B25/60</f>
        <v>8.75</v>
      </c>
    </row>
    <row r="27">
      <c r="A27" s="7" t="s">
        <v>23</v>
      </c>
      <c r="B27" s="8">
        <f>B22*422</f>
        <v>738500</v>
      </c>
    </row>
    <row r="28">
      <c r="A28" s="7" t="s">
        <v>24</v>
      </c>
      <c r="B28" s="8">
        <f>B22*425</f>
        <v>743750</v>
      </c>
    </row>
  </sheetData>
  <drawing r:id="rId1"/>
</worksheet>
</file>